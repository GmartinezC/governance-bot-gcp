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os GCP" sheetId="1" state="visible" r:id="rId1"/>
    <sheet name="Supuestos y 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"/>
    <numFmt numFmtId="165" formatCode="&quot;USD $&quot;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D47A1"/>
      <sz val="10"/>
    </font>
    <font>
      <name val="Calibri"/>
      <color rgb="00000000"/>
      <sz val="9"/>
    </font>
    <font>
      <name val="Calibri"/>
      <b val="1"/>
      <color rgb="001B5E20"/>
      <sz val="10"/>
    </font>
    <font>
      <name val="Calibri"/>
      <color rgb="009E9E9E"/>
      <sz val="9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color rgb="005D4037"/>
      <sz val="9"/>
    </font>
  </fonts>
  <fills count="13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880E4F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1B5E20"/>
      </patternFill>
    </fill>
    <fill>
      <patternFill patternType="solid">
        <fgColor rgb="000D47A1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4" fontId="5" fillId="7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164" fontId="5" fillId="8" borderId="1" applyAlignment="1" pivotButton="0" quotePrefix="0" xfId="0">
      <alignment horizontal="center" vertical="center" wrapText="1"/>
    </xf>
    <xf numFmtId="4" fontId="5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165" fontId="6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5" fillId="7" borderId="1" applyAlignment="1" pivotButton="0" quotePrefix="0" xfId="0">
      <alignment horizontal="center" vertical="center" wrapText="1"/>
    </xf>
    <xf numFmtId="165" fontId="7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left" vertical="center" wrapText="1"/>
    </xf>
    <xf numFmtId="165" fontId="9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8" fillId="11" borderId="0" applyAlignment="1" pivotButton="0" quotePrefix="0" xfId="0">
      <alignment horizontal="left" vertical="center" wrapText="1"/>
    </xf>
    <xf numFmtId="165" fontId="9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8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4" customWidth="1" min="9" max="9"/>
    <col width="10" customWidth="1" min="10" max="10"/>
    <col width="12" customWidth="1" min="11" max="11"/>
    <col width="14" customWidth="1" min="12" max="12"/>
    <col width="42" customWidth="1" min="13" max="13"/>
  </cols>
  <sheetData>
    <row r="1" ht="32" customHeight="1">
      <c r="A1" s="1" t="inlineStr">
        <is>
          <t>BOT AUTÓNOMO DE GOBIERNO DE DATOS EN GCP — ESTIMACIÓN DE COSTOS MENSUALES (USD)</t>
        </is>
      </c>
    </row>
    <row r="2" ht="22" customHeight="1">
      <c r="A2" t="inlineStr"/>
      <c r="D2" s="2" t="inlineStr">
        <is>
          <t>STARTUP</t>
        </is>
      </c>
      <c r="G2" s="3" t="inlineStr">
        <is>
          <t>EMPRESA MEDIANA</t>
        </is>
      </c>
      <c r="J2" s="4" t="inlineStr">
        <is>
          <t>ENTERPRISE</t>
        </is>
      </c>
    </row>
    <row r="3" ht="28" customHeight="1">
      <c r="A3" s="5" t="inlineStr">
        <is>
          <t>Producto / Servicio</t>
        </is>
      </c>
      <c r="B3" s="5" t="inlineStr">
        <is>
          <t>Categoría</t>
        </is>
      </c>
      <c r="C3" s="5" t="inlineStr">
        <is>
          <t>Parámetro / Unidad</t>
        </is>
      </c>
      <c r="D3" s="5" t="inlineStr">
        <is>
          <t>P.Unit.</t>
        </is>
      </c>
      <c r="E3" s="5" t="inlineStr">
        <is>
          <t>Cantidad</t>
        </is>
      </c>
      <c r="F3" s="5" t="inlineStr">
        <is>
          <t>Total/mes</t>
        </is>
      </c>
      <c r="G3" s="5" t="inlineStr">
        <is>
          <t>P.Unit.</t>
        </is>
      </c>
      <c r="H3" s="5" t="inlineStr">
        <is>
          <t>Cantidad</t>
        </is>
      </c>
      <c r="I3" s="5" t="inlineStr">
        <is>
          <t>Total/mes</t>
        </is>
      </c>
      <c r="J3" s="5" t="inlineStr">
        <is>
          <t>P.Unit.</t>
        </is>
      </c>
      <c r="K3" s="5" t="inlineStr">
        <is>
          <t>Cantidad</t>
        </is>
      </c>
      <c r="L3" s="5" t="inlineStr">
        <is>
          <t>Total/mes</t>
        </is>
      </c>
      <c r="M3" s="5" t="inlineStr">
        <is>
          <t>Notas</t>
        </is>
      </c>
    </row>
    <row r="4" ht="20" customHeight="1">
      <c r="A4" s="6" t="inlineStr">
        <is>
          <t xml:space="preserve">  🤖 LLM &amp; Vertex AI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18" customHeight="1">
      <c r="A5" s="8" t="inlineStr">
        <is>
          <t>Gemini 1.5 Pro — Input tokens</t>
        </is>
      </c>
      <c r="B5" s="8" t="inlineStr">
        <is>
          <t>LLM</t>
        </is>
      </c>
      <c r="C5" s="8" t="inlineStr">
        <is>
          <t>USD por 1M tokens (input)</t>
        </is>
      </c>
      <c r="D5" s="9" t="n">
        <v>1.25</v>
      </c>
      <c r="E5" s="10" t="n">
        <v>40</v>
      </c>
      <c r="F5" s="11">
        <f>D5*E5</f>
        <v/>
      </c>
      <c r="G5" s="9" t="n">
        <v>1.25</v>
      </c>
      <c r="H5" s="10" t="n">
        <v>200</v>
      </c>
      <c r="I5" s="11">
        <f>G5*H5</f>
        <v/>
      </c>
      <c r="J5" s="9" t="n">
        <v>1.25</v>
      </c>
      <c r="K5" s="10" t="n">
        <v>800</v>
      </c>
      <c r="L5" s="11">
        <f>J5*K5</f>
        <v/>
      </c>
      <c r="M5" s="8" t="inlineStr">
        <is>
          <t>~50K tokens input/run avg. Precio Vertex AI estándar.</t>
        </is>
      </c>
    </row>
    <row r="6" ht="18" customHeight="1">
      <c r="A6" s="12" t="inlineStr">
        <is>
          <t>Gemini 1.5 Pro — Output tokens</t>
        </is>
      </c>
      <c r="B6" s="12" t="inlineStr">
        <is>
          <t>LLM</t>
        </is>
      </c>
      <c r="C6" s="12" t="inlineStr">
        <is>
          <t>USD por 1M tokens (output)</t>
        </is>
      </c>
      <c r="D6" s="13" t="n">
        <v>5</v>
      </c>
      <c r="E6" s="14" t="n">
        <v>8</v>
      </c>
      <c r="F6" s="15">
        <f>D6*E6</f>
        <v/>
      </c>
      <c r="G6" s="13" t="n">
        <v>5</v>
      </c>
      <c r="H6" s="14" t="n">
        <v>40</v>
      </c>
      <c r="I6" s="15">
        <f>G6*H6</f>
        <v/>
      </c>
      <c r="J6" s="13" t="n">
        <v>5</v>
      </c>
      <c r="K6" s="14" t="n">
        <v>160</v>
      </c>
      <c r="L6" s="15">
        <f>J6*K6</f>
        <v/>
      </c>
      <c r="M6" s="12" t="inlineStr">
        <is>
          <t>~10K tokens output/run avg. Incluye razonamiento y reporte.</t>
        </is>
      </c>
    </row>
    <row r="7" ht="18" customHeight="1">
      <c r="A7" s="8" t="inlineStr">
        <is>
          <t>Gemini 1.5 Flash — Clasificación/Scoring</t>
        </is>
      </c>
      <c r="B7" s="8" t="inlineStr">
        <is>
          <t>LLM</t>
        </is>
      </c>
      <c r="C7" s="8" t="inlineStr">
        <is>
          <t>USD por 1M tokens (input+output)</t>
        </is>
      </c>
      <c r="D7" s="9" t="n">
        <v>0.075</v>
      </c>
      <c r="E7" s="10" t="n">
        <v>10</v>
      </c>
      <c r="F7" s="11">
        <f>D7*E7</f>
        <v/>
      </c>
      <c r="G7" s="9" t="n">
        <v>0.075</v>
      </c>
      <c r="H7" s="10" t="n">
        <v>50</v>
      </c>
      <c r="I7" s="11">
        <f>G7*H7</f>
        <v/>
      </c>
      <c r="J7" s="9" t="n">
        <v>0.075</v>
      </c>
      <c r="K7" s="10" t="n">
        <v>200</v>
      </c>
      <c r="L7" s="11">
        <f>J7*K7</f>
        <v/>
      </c>
      <c r="M7" s="8" t="inlineStr">
        <is>
          <t>Tareas de scoring ligero. Flash es 16x más barato que Pro.</t>
        </is>
      </c>
    </row>
    <row r="8" ht="18" customHeight="1">
      <c r="A8" s="12" t="inlineStr">
        <is>
          <t>Vertex AI Embeddings (text-embedding-004)</t>
        </is>
      </c>
      <c r="B8" s="12" t="inlineStr">
        <is>
          <t>LLM</t>
        </is>
      </c>
      <c r="C8" s="12" t="inlineStr">
        <is>
          <t>USD por 1M caracteres</t>
        </is>
      </c>
      <c r="D8" s="13" t="n">
        <v>0.025</v>
      </c>
      <c r="E8" s="14" t="n">
        <v>20</v>
      </c>
      <c r="F8" s="15">
        <f>D8*E8</f>
        <v/>
      </c>
      <c r="G8" s="13" t="n">
        <v>0.025</v>
      </c>
      <c r="H8" s="14" t="n">
        <v>100</v>
      </c>
      <c r="I8" s="15">
        <f>G8*H8</f>
        <v/>
      </c>
      <c r="J8" s="13" t="n">
        <v>0.025</v>
      </c>
      <c r="K8" s="14" t="n">
        <v>400</v>
      </c>
      <c r="L8" s="15">
        <f>J8*K8</f>
        <v/>
      </c>
      <c r="M8" s="12" t="inlineStr">
        <is>
          <t>Vectorización de hallazgos para long-term memory.</t>
        </is>
      </c>
    </row>
    <row r="9" ht="20" customHeight="1">
      <c r="A9" s="16" t="inlineStr">
        <is>
          <t xml:space="preserve">  Subtotal — LLM / Vertex AI</t>
        </is>
      </c>
      <c r="F9" s="17">
        <f>SUM(F5:F8)</f>
        <v/>
      </c>
      <c r="G9" s="18" t="n"/>
      <c r="H9" s="18" t="n"/>
      <c r="I9" s="17">
        <f>SUM(I5:I8)</f>
        <v/>
      </c>
      <c r="J9" s="18" t="n"/>
      <c r="K9" s="18" t="n"/>
      <c r="L9" s="17">
        <f>SUM(L5:L8)</f>
        <v/>
      </c>
      <c r="M9" s="18" t="n"/>
    </row>
    <row r="10" ht="20" customHeight="1">
      <c r="A10" s="6" t="inlineStr">
        <is>
          <t xml:space="preserve">  ⚙️ Compute (Cloud Run Jobs)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 ht="18" customHeight="1">
      <c r="A11" s="8" t="inlineStr">
        <is>
          <t>Cloud Run Jobs — CPU</t>
        </is>
      </c>
      <c r="B11" s="8" t="inlineStr">
        <is>
          <t>Compute</t>
        </is>
      </c>
      <c r="C11" s="8" t="inlineStr">
        <is>
          <t>USD por vCPU·segundo</t>
        </is>
      </c>
      <c r="D11" s="9" t="n">
        <v>2.4e-05</v>
      </c>
      <c r="E11" s="10" t="n">
        <v>36000</v>
      </c>
      <c r="F11" s="11">
        <f>D11*E11</f>
        <v/>
      </c>
      <c r="G11" s="9" t="n">
        <v>2.4e-05</v>
      </c>
      <c r="H11" s="10" t="n">
        <v>144000</v>
      </c>
      <c r="I11" s="11">
        <f>G11*H11</f>
        <v/>
      </c>
      <c r="J11" s="9" t="n">
        <v>2.4e-05</v>
      </c>
      <c r="K11" s="10" t="n">
        <v>576000</v>
      </c>
      <c r="L11" s="11">
        <f>J11*K11</f>
        <v/>
      </c>
      <c r="M11" s="8" t="inlineStr">
        <is>
          <t>2 vCPU × ~5 min/run. 30 días. Precio región us-central1.</t>
        </is>
      </c>
    </row>
    <row r="12" ht="18" customHeight="1">
      <c r="A12" s="12" t="inlineStr">
        <is>
          <t>Cloud Run Jobs — Memoria</t>
        </is>
      </c>
      <c r="B12" s="12" t="inlineStr">
        <is>
          <t>Compute</t>
        </is>
      </c>
      <c r="C12" s="12" t="inlineStr">
        <is>
          <t>USD por GiB·segundo</t>
        </is>
      </c>
      <c r="D12" s="13" t="n">
        <v>2.5e-06</v>
      </c>
      <c r="E12" s="14" t="n">
        <v>72000</v>
      </c>
      <c r="F12" s="15">
        <f>D12*E12</f>
        <v/>
      </c>
      <c r="G12" s="13" t="n">
        <v>2.5e-06</v>
      </c>
      <c r="H12" s="14" t="n">
        <v>288000</v>
      </c>
      <c r="I12" s="15">
        <f>G12*H12</f>
        <v/>
      </c>
      <c r="J12" s="13" t="n">
        <v>2.5e-06</v>
      </c>
      <c r="K12" s="14" t="n">
        <v>1152000</v>
      </c>
      <c r="L12" s="15">
        <f>J12*K12</f>
        <v/>
      </c>
      <c r="M12" s="12" t="inlineStr">
        <is>
          <t>4 GiB × ~5 min/run. 30 días.</t>
        </is>
      </c>
    </row>
    <row r="13" ht="18" customHeight="1">
      <c r="A13" s="8" t="inlineStr">
        <is>
          <t>Artifact Registry — Storage</t>
        </is>
      </c>
      <c r="B13" s="8" t="inlineStr">
        <is>
          <t>Compute</t>
        </is>
      </c>
      <c r="C13" s="8" t="inlineStr">
        <is>
          <t>USD por GB/mes</t>
        </is>
      </c>
      <c r="D13" s="9" t="n">
        <v>0.1</v>
      </c>
      <c r="E13" s="10" t="n">
        <v>2</v>
      </c>
      <c r="F13" s="11">
        <f>D13*E13</f>
        <v/>
      </c>
      <c r="G13" s="9" t="n">
        <v>0.1</v>
      </c>
      <c r="H13" s="10" t="n">
        <v>2</v>
      </c>
      <c r="I13" s="11">
        <f>G13*H13</f>
        <v/>
      </c>
      <c r="J13" s="9" t="n">
        <v>0.1</v>
      </c>
      <c r="K13" s="10" t="n">
        <v>2</v>
      </c>
      <c r="L13" s="11">
        <f>J13*K13</f>
        <v/>
      </c>
      <c r="M13" s="8" t="inlineStr">
        <is>
          <t>Imagen container ~500MB × 2 versiones. Fijo.</t>
        </is>
      </c>
    </row>
    <row r="14" ht="20" customHeight="1">
      <c r="A14" s="16" t="inlineStr">
        <is>
          <t xml:space="preserve">  Subtotal — Compute</t>
        </is>
      </c>
      <c r="F14" s="17">
        <f>SUM(F11:F13)</f>
        <v/>
      </c>
      <c r="G14" s="18" t="n"/>
      <c r="H14" s="18" t="n"/>
      <c r="I14" s="17">
        <f>SUM(I11:I13)</f>
        <v/>
      </c>
      <c r="J14" s="18" t="n"/>
      <c r="K14" s="18" t="n"/>
      <c r="L14" s="17">
        <f>SUM(L11:L13)</f>
        <v/>
      </c>
      <c r="M14" s="18" t="n"/>
    </row>
    <row r="15" ht="20" customHeight="1">
      <c r="A15" s="6" t="inlineStr">
        <is>
          <t xml:space="preserve">  🗄️ Storage &amp; Bases de Datos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18" customHeight="1">
      <c r="A16" s="8" t="inlineStr">
        <is>
          <t>Firestore — Lecturas</t>
        </is>
      </c>
      <c r="B16" s="8" t="inlineStr">
        <is>
          <t>Storage</t>
        </is>
      </c>
      <c r="C16" s="8" t="inlineStr">
        <is>
          <t>USD por 100K lecturas</t>
        </is>
      </c>
      <c r="D16" s="9" t="n">
        <v>0.036</v>
      </c>
      <c r="E16" s="10" t="n">
        <v>50</v>
      </c>
      <c r="F16" s="11">
        <f>D16*E16</f>
        <v/>
      </c>
      <c r="G16" s="9" t="n">
        <v>0.036</v>
      </c>
      <c r="H16" s="10" t="n">
        <v>250</v>
      </c>
      <c r="I16" s="11">
        <f>G16*H16</f>
        <v/>
      </c>
      <c r="J16" s="9" t="n">
        <v>0.036</v>
      </c>
      <c r="K16" s="10" t="n">
        <v>1000</v>
      </c>
      <c r="L16" s="11">
        <f>J16*K16</f>
        <v/>
      </c>
      <c r="M16" s="8" t="inlineStr">
        <is>
          <t>State store: lecturas de estado anterior, findings, diffs.</t>
        </is>
      </c>
    </row>
    <row r="17" ht="18" customHeight="1">
      <c r="A17" s="12" t="inlineStr">
        <is>
          <t>Firestore — Escrituras</t>
        </is>
      </c>
      <c r="B17" s="12" t="inlineStr">
        <is>
          <t>Storage</t>
        </is>
      </c>
      <c r="C17" s="12" t="inlineStr">
        <is>
          <t>USD por 100K escrituras</t>
        </is>
      </c>
      <c r="D17" s="13" t="n">
        <v>0.108</v>
      </c>
      <c r="E17" s="14" t="n">
        <v>20</v>
      </c>
      <c r="F17" s="15">
        <f>D17*E17</f>
        <v/>
      </c>
      <c r="G17" s="13" t="n">
        <v>0.108</v>
      </c>
      <c r="H17" s="14" t="n">
        <v>100</v>
      </c>
      <c r="I17" s="15">
        <f>G17*H17</f>
        <v/>
      </c>
      <c r="J17" s="13" t="n">
        <v>0.108</v>
      </c>
      <c r="K17" s="14" t="n">
        <v>400</v>
      </c>
      <c r="L17" s="15">
        <f>J17*K17</f>
        <v/>
      </c>
      <c r="M17" s="12" t="inlineStr">
        <is>
          <t>Actualización de estado, scores y findings por run.</t>
        </is>
      </c>
    </row>
    <row r="18" ht="18" customHeight="1">
      <c r="A18" s="8" t="inlineStr">
        <is>
          <t>Firestore — Almacenamiento</t>
        </is>
      </c>
      <c r="B18" s="8" t="inlineStr">
        <is>
          <t>Storage</t>
        </is>
      </c>
      <c r="C18" s="8" t="inlineStr">
        <is>
          <t>USD por GiB/mes</t>
        </is>
      </c>
      <c r="D18" s="9" t="n">
        <v>0.108</v>
      </c>
      <c r="E18" s="10" t="n">
        <v>0.5</v>
      </c>
      <c r="F18" s="11">
        <f>D18*E18</f>
        <v/>
      </c>
      <c r="G18" s="9" t="n">
        <v>0.108</v>
      </c>
      <c r="H18" s="10" t="n">
        <v>2</v>
      </c>
      <c r="I18" s="11">
        <f>G18*H18</f>
        <v/>
      </c>
      <c r="J18" s="9" t="n">
        <v>0.108</v>
      </c>
      <c r="K18" s="10" t="n">
        <v>8</v>
      </c>
      <c r="L18" s="11">
        <f>J18*K18</f>
        <v/>
      </c>
      <c r="M18" s="8" t="inlineStr">
        <is>
          <t>Documentos de estado por proyecto. Crece lentamente.</t>
        </is>
      </c>
    </row>
    <row r="19" ht="18" customHeight="1">
      <c r="A19" s="12" t="inlineStr">
        <is>
          <t>Vertex Vector Search — Index</t>
        </is>
      </c>
      <c r="B19" s="12" t="inlineStr">
        <is>
          <t>Storage</t>
        </is>
      </c>
      <c r="C19" s="12" t="inlineStr">
        <is>
          <t>USD por nodo/hora (n1-standard-2)</t>
        </is>
      </c>
      <c r="D19" s="13" t="n">
        <v>0.15</v>
      </c>
      <c r="E19" s="14" t="n">
        <v>720</v>
      </c>
      <c r="F19" s="15">
        <f>D19*E19</f>
        <v/>
      </c>
      <c r="G19" s="13" t="n">
        <v>0.15</v>
      </c>
      <c r="H19" s="14" t="n">
        <v>720</v>
      </c>
      <c r="I19" s="15">
        <f>G19*H19</f>
        <v/>
      </c>
      <c r="J19" s="13" t="n">
        <v>0.15</v>
      </c>
      <c r="K19" s="14" t="n">
        <v>1440</v>
      </c>
      <c r="L19" s="15">
        <f>J19*K19</f>
        <v/>
      </c>
      <c r="M19" s="12" t="inlineStr">
        <is>
          <t>1 nodo base (~720h/mes). Enterprise usa 2 nodos para HA.</t>
        </is>
      </c>
    </row>
    <row r="20" ht="18" customHeight="1">
      <c r="A20" s="8" t="inlineStr">
        <is>
          <t>Cloud Storage — Reportes</t>
        </is>
      </c>
      <c r="B20" s="8" t="inlineStr">
        <is>
          <t>Storage</t>
        </is>
      </c>
      <c r="C20" s="8" t="inlineStr">
        <is>
          <t>USD por GB/mes (Standard)</t>
        </is>
      </c>
      <c r="D20" s="9" t="n">
        <v>0.02</v>
      </c>
      <c r="E20" s="10" t="n">
        <v>2</v>
      </c>
      <c r="F20" s="11">
        <f>D20*E20</f>
        <v/>
      </c>
      <c r="G20" s="9" t="n">
        <v>0.02</v>
      </c>
      <c r="H20" s="10" t="n">
        <v>10</v>
      </c>
      <c r="I20" s="11">
        <f>G20*H20</f>
        <v/>
      </c>
      <c r="J20" s="9" t="n">
        <v>0.02</v>
      </c>
      <c r="K20" s="10" t="n">
        <v>40</v>
      </c>
      <c r="L20" s="11">
        <f>J20*K20</f>
        <v/>
      </c>
      <c r="M20" s="8" t="inlineStr">
        <is>
          <t>Reportes HTML/JSON/MD por run. ~500KB/reporte.</t>
        </is>
      </c>
    </row>
    <row r="21" ht="20" customHeight="1">
      <c r="A21" s="16" t="inlineStr">
        <is>
          <t xml:space="preserve">  Subtotal — Storage &amp; Bases de Datos</t>
        </is>
      </c>
      <c r="F21" s="17">
        <f>SUM(F16:F20)</f>
        <v/>
      </c>
      <c r="G21" s="18" t="n"/>
      <c r="H21" s="18" t="n"/>
      <c r="I21" s="17">
        <f>SUM(I16:I20)</f>
        <v/>
      </c>
      <c r="J21" s="18" t="n"/>
      <c r="K21" s="18" t="n"/>
      <c r="L21" s="17">
        <f>SUM(L16:L20)</f>
        <v/>
      </c>
      <c r="M21" s="18" t="n"/>
    </row>
    <row r="22" ht="20" customHeight="1">
      <c r="A22" s="6" t="inlineStr">
        <is>
          <t xml:space="preserve">  📊 Analytics &amp; Output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 ht="18" customHeight="1">
      <c r="A23" s="8" t="inlineStr">
        <is>
          <t>BigQuery — Storage (resultados)</t>
        </is>
      </c>
      <c r="B23" s="8" t="inlineStr">
        <is>
          <t>Analytics</t>
        </is>
      </c>
      <c r="C23" s="8" t="inlineStr">
        <is>
          <t>USD por GB/mes (Active)</t>
        </is>
      </c>
      <c r="D23" s="9" t="n">
        <v>0.02</v>
      </c>
      <c r="E23" s="10" t="n">
        <v>5</v>
      </c>
      <c r="F23" s="11">
        <f>D23*E23</f>
        <v/>
      </c>
      <c r="G23" s="9" t="n">
        <v>0.02</v>
      </c>
      <c r="H23" s="10" t="n">
        <v>25</v>
      </c>
      <c r="I23" s="11">
        <f>G23*H23</f>
        <v/>
      </c>
      <c r="J23" s="9" t="n">
        <v>0.02</v>
      </c>
      <c r="K23" s="10" t="n">
        <v>100</v>
      </c>
      <c r="L23" s="11">
        <f>J23*K23</f>
        <v/>
      </c>
      <c r="M23" s="8" t="inlineStr">
        <is>
          <t>Tabla de findings históricos. ~100MB/mes por proyecto.</t>
        </is>
      </c>
    </row>
    <row r="24" ht="18" customHeight="1">
      <c r="A24" s="12" t="inlineStr">
        <is>
          <t>BigQuery — Queries (Looker Studio)</t>
        </is>
      </c>
      <c r="B24" s="12" t="inlineStr">
        <is>
          <t>Analytics</t>
        </is>
      </c>
      <c r="C24" s="12" t="inlineStr">
        <is>
          <t>USD por TB procesado</t>
        </is>
      </c>
      <c r="D24" s="13" t="n">
        <v>5</v>
      </c>
      <c r="E24" s="14" t="n">
        <v>0.05</v>
      </c>
      <c r="F24" s="15">
        <f>D24*E24</f>
        <v/>
      </c>
      <c r="G24" s="13" t="n">
        <v>5</v>
      </c>
      <c r="H24" s="14" t="n">
        <v>0.25</v>
      </c>
      <c r="I24" s="15">
        <f>G24*H24</f>
        <v/>
      </c>
      <c r="J24" s="13" t="n">
        <v>5</v>
      </c>
      <c r="K24" s="14" t="n">
        <v>1</v>
      </c>
      <c r="L24" s="15">
        <f>J24*K24</f>
        <v/>
      </c>
      <c r="M24" s="12" t="inlineStr">
        <is>
          <t>Queries de dashboard. Mínimo si se usa BI Engine.</t>
        </is>
      </c>
    </row>
    <row r="25" ht="18" customHeight="1">
      <c r="A25" s="8" t="inlineStr">
        <is>
          <t>Looker Studio</t>
        </is>
      </c>
      <c r="B25" s="8" t="inlineStr">
        <is>
          <t>Analytics</t>
        </is>
      </c>
      <c r="C25" s="8" t="inlineStr">
        <is>
          <t>USD/mes</t>
        </is>
      </c>
      <c r="D25" s="19" t="n">
        <v>0</v>
      </c>
      <c r="E25" s="10" t="n">
        <v>0</v>
      </c>
      <c r="F25" s="20" t="n">
        <v>0</v>
      </c>
      <c r="G25" s="19" t="n">
        <v>0</v>
      </c>
      <c r="H25" s="10" t="n">
        <v>0</v>
      </c>
      <c r="I25" s="20" t="n">
        <v>0</v>
      </c>
      <c r="J25" s="19" t="n">
        <v>0</v>
      </c>
      <c r="K25" s="10" t="n">
        <v>0</v>
      </c>
      <c r="L25" s="20" t="n">
        <v>0</v>
      </c>
      <c r="M25" s="8" t="inlineStr">
        <is>
          <t>✅ Gratis para uso estándar con BigQuery.</t>
        </is>
      </c>
    </row>
    <row r="26" ht="20" customHeight="1">
      <c r="A26" s="16" t="inlineStr">
        <is>
          <t xml:space="preserve">  Subtotal — Analytics &amp; Output</t>
        </is>
      </c>
      <c r="F26" s="17">
        <f>SUM(F23:F25)</f>
        <v/>
      </c>
      <c r="G26" s="18" t="n"/>
      <c r="H26" s="18" t="n"/>
      <c r="I26" s="17">
        <f>SUM(I23:I25)</f>
        <v/>
      </c>
      <c r="J26" s="18" t="n"/>
      <c r="K26" s="18" t="n"/>
      <c r="L26" s="17">
        <f>SUM(L23:L25)</f>
        <v/>
      </c>
      <c r="M26" s="18" t="n"/>
    </row>
    <row r="27" ht="20" customHeight="1">
      <c r="A27" s="6" t="inlineStr">
        <is>
          <t xml:space="preserve">  📡 Integración &amp; Alertas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18" customHeight="1">
      <c r="A28" s="8" t="inlineStr">
        <is>
          <t>Cloud Scheduler</t>
        </is>
      </c>
      <c r="B28" s="8" t="inlineStr">
        <is>
          <t>Integración</t>
        </is>
      </c>
      <c r="C28" s="8" t="inlineStr">
        <is>
          <t>USD por job/mes</t>
        </is>
      </c>
      <c r="D28" s="9" t="n">
        <v>0.1</v>
      </c>
      <c r="E28" s="10" t="n">
        <v>1</v>
      </c>
      <c r="F28" s="11">
        <f>D28*E28</f>
        <v/>
      </c>
      <c r="G28" s="9" t="n">
        <v>0.1</v>
      </c>
      <c r="H28" s="10" t="n">
        <v>2</v>
      </c>
      <c r="I28" s="11">
        <f>G28*H28</f>
        <v/>
      </c>
      <c r="J28" s="9" t="n">
        <v>0.1</v>
      </c>
      <c r="K28" s="10" t="n">
        <v>4</v>
      </c>
      <c r="L28" s="11">
        <f>J28*K28</f>
        <v/>
      </c>
      <c r="M28" s="8" t="inlineStr">
        <is>
          <t>1 job scheduled (daily). Enterprise puede tener 2-4 jobs.</t>
        </is>
      </c>
    </row>
    <row r="29" ht="18" customHeight="1">
      <c r="A29" s="12" t="inlineStr">
        <is>
          <t>Eventarc — Eventos</t>
        </is>
      </c>
      <c r="B29" s="12" t="inlineStr">
        <is>
          <t>Integración</t>
        </is>
      </c>
      <c r="C29" s="12" t="inlineStr">
        <is>
          <t>USD por millón de eventos</t>
        </is>
      </c>
      <c r="D29" s="13" t="n">
        <v>0.4</v>
      </c>
      <c r="E29" s="14" t="n">
        <v>0.05</v>
      </c>
      <c r="F29" s="15">
        <f>D29*E29</f>
        <v/>
      </c>
      <c r="G29" s="13" t="n">
        <v>0.4</v>
      </c>
      <c r="H29" s="14" t="n">
        <v>0.25</v>
      </c>
      <c r="I29" s="15">
        <f>G29*H29</f>
        <v/>
      </c>
      <c r="J29" s="13" t="n">
        <v>0.4</v>
      </c>
      <c r="K29" s="14" t="n">
        <v>1</v>
      </c>
      <c r="L29" s="15">
        <f>J29*K29</f>
        <v/>
      </c>
      <c r="M29" s="12" t="inlineStr">
        <is>
          <t>Triggers por cambios IAM, DLP alerts.</t>
        </is>
      </c>
    </row>
    <row r="30" ht="18" customHeight="1">
      <c r="A30" s="8" t="inlineStr">
        <is>
          <t>Pub/Sub — Mensajes</t>
        </is>
      </c>
      <c r="B30" s="8" t="inlineStr">
        <is>
          <t>Integración</t>
        </is>
      </c>
      <c r="C30" s="8" t="inlineStr">
        <is>
          <t>USD por GB publicado</t>
        </is>
      </c>
      <c r="D30" s="9" t="n">
        <v>0.04</v>
      </c>
      <c r="E30" s="10" t="n">
        <v>0.1</v>
      </c>
      <c r="F30" s="11">
        <f>D30*E30</f>
        <v/>
      </c>
      <c r="G30" s="9" t="n">
        <v>0.04</v>
      </c>
      <c r="H30" s="10" t="n">
        <v>0.5</v>
      </c>
      <c r="I30" s="11">
        <f>G30*H30</f>
        <v/>
      </c>
      <c r="J30" s="9" t="n">
        <v>0.04</v>
      </c>
      <c r="K30" s="10" t="n">
        <v>2</v>
      </c>
      <c r="L30" s="11">
        <f>J30*K30</f>
        <v/>
      </c>
      <c r="M30" s="8" t="inlineStr">
        <is>
          <t>Alertas a Slack/email/webhook downstream.</t>
        </is>
      </c>
    </row>
    <row r="31" ht="18" customHeight="1">
      <c r="A31" s="12" t="inlineStr">
        <is>
          <t>Cloud Monitoring — Alertas</t>
        </is>
      </c>
      <c r="B31" s="12" t="inlineStr">
        <is>
          <t>Integración</t>
        </is>
      </c>
      <c r="C31" s="12" t="inlineStr">
        <is>
          <t>USD por métrica/mes</t>
        </is>
      </c>
      <c r="D31" s="13" t="n">
        <v>0.01</v>
      </c>
      <c r="E31" s="14" t="n">
        <v>5</v>
      </c>
      <c r="F31" s="15">
        <f>D31*E31</f>
        <v/>
      </c>
      <c r="G31" s="13" t="n">
        <v>0.01</v>
      </c>
      <c r="H31" s="14" t="n">
        <v>20</v>
      </c>
      <c r="I31" s="15">
        <f>G31*H31</f>
        <v/>
      </c>
      <c r="J31" s="13" t="n">
        <v>0.01</v>
      </c>
      <c r="K31" s="14" t="n">
        <v>80</v>
      </c>
      <c r="L31" s="15">
        <f>J31*K31</f>
        <v/>
      </c>
      <c r="M31" s="12" t="inlineStr">
        <is>
          <t>Custom metrics para governance score y findings.</t>
        </is>
      </c>
    </row>
    <row r="32" ht="20" customHeight="1">
      <c r="A32" s="16" t="inlineStr">
        <is>
          <t xml:space="preserve">  Subtotal — Integración &amp; Alertas</t>
        </is>
      </c>
      <c r="F32" s="17">
        <f>SUM(F28:F31)</f>
        <v/>
      </c>
      <c r="G32" s="18" t="n"/>
      <c r="H32" s="18" t="n"/>
      <c r="I32" s="17">
        <f>SUM(I28:I31)</f>
        <v/>
      </c>
      <c r="J32" s="18" t="n"/>
      <c r="K32" s="18" t="n"/>
      <c r="L32" s="17">
        <f>SUM(L28:L31)</f>
        <v/>
      </c>
      <c r="M32" s="18" t="n"/>
    </row>
    <row r="33" ht="20" customHeight="1">
      <c r="A33" s="6" t="inlineStr">
        <is>
          <t xml:space="preserve">  🔐 Seguridad &amp; APIs GCP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18" customHeight="1">
      <c r="A34" s="8" t="inlineStr">
        <is>
          <t>Secret Manager — Accesos</t>
        </is>
      </c>
      <c r="B34" s="8" t="inlineStr">
        <is>
          <t>Seguridad</t>
        </is>
      </c>
      <c r="C34" s="8" t="inlineStr">
        <is>
          <t>USD por 10K accesos</t>
        </is>
      </c>
      <c r="D34" s="9" t="n">
        <v>0.03</v>
      </c>
      <c r="E34" s="10" t="n">
        <v>1</v>
      </c>
      <c r="F34" s="11">
        <f>D34*E34</f>
        <v/>
      </c>
      <c r="G34" s="9" t="n">
        <v>0.03</v>
      </c>
      <c r="H34" s="10" t="n">
        <v>3</v>
      </c>
      <c r="I34" s="11">
        <f>G34*H34</f>
        <v/>
      </c>
      <c r="J34" s="9" t="n">
        <v>0.03</v>
      </c>
      <c r="K34" s="10" t="n">
        <v>10</v>
      </c>
      <c r="L34" s="11">
        <f>J34*K34</f>
        <v/>
      </c>
      <c r="M34" s="8" t="inlineStr">
        <is>
          <t>Lectura de secrets al inicio de cada run.</t>
        </is>
      </c>
    </row>
    <row r="35" ht="18" customHeight="1">
      <c r="A35" s="12" t="inlineStr">
        <is>
          <t>Cloud DLP — Inspección</t>
        </is>
      </c>
      <c r="B35" s="12" t="inlineStr">
        <is>
          <t>Seguridad</t>
        </is>
      </c>
      <c r="C35" s="12" t="inlineStr">
        <is>
          <t>USD por GB inspeccionado</t>
        </is>
      </c>
      <c r="D35" s="13" t="n">
        <v>1</v>
      </c>
      <c r="E35" s="14" t="n">
        <v>2</v>
      </c>
      <c r="F35" s="15">
        <f>D35*E35</f>
        <v/>
      </c>
      <c r="G35" s="13" t="n">
        <v>1</v>
      </c>
      <c r="H35" s="14" t="n">
        <v>10</v>
      </c>
      <c r="I35" s="15">
        <f>G35*H35</f>
        <v/>
      </c>
      <c r="J35" s="13" t="n">
        <v>1</v>
      </c>
      <c r="K35" s="14" t="n">
        <v>40</v>
      </c>
      <c r="L35" s="15">
        <f>J35*K35</f>
        <v/>
      </c>
      <c r="M35" s="12" t="inlineStr">
        <is>
          <t>Inspección mensual de datasets BigQuery + GCS samples.</t>
        </is>
      </c>
    </row>
    <row r="36" ht="18" customHeight="1">
      <c r="A36" s="8" t="inlineStr">
        <is>
          <t>Cloud Asset Inventory</t>
        </is>
      </c>
      <c r="B36" s="8" t="inlineStr">
        <is>
          <t>Seguridad</t>
        </is>
      </c>
      <c r="C36" s="8" t="inlineStr">
        <is>
          <t>USD por 1M asset·días</t>
        </is>
      </c>
      <c r="D36" s="19" t="n">
        <v>0</v>
      </c>
      <c r="E36" s="10" t="n">
        <v>0</v>
      </c>
      <c r="F36" s="20" t="n">
        <v>0</v>
      </c>
      <c r="G36" s="19" t="n">
        <v>0</v>
      </c>
      <c r="H36" s="10" t="n">
        <v>0</v>
      </c>
      <c r="I36" s="20" t="n">
        <v>0</v>
      </c>
      <c r="J36" s="19" t="n">
        <v>0</v>
      </c>
      <c r="K36" s="10" t="n">
        <v>0</v>
      </c>
      <c r="L36" s="20" t="n">
        <v>0</v>
      </c>
      <c r="M36" s="8" t="inlineStr">
        <is>
          <t>✅ Sin costo por las primeras 2.5M asset·días.</t>
        </is>
      </c>
    </row>
    <row r="37" ht="18" customHeight="1">
      <c r="A37" s="12" t="inlineStr">
        <is>
          <t>Data Catalog — Búsquedas</t>
        </is>
      </c>
      <c r="B37" s="12" t="inlineStr">
        <is>
          <t>Seguridad</t>
        </is>
      </c>
      <c r="C37" s="12" t="inlineStr">
        <is>
          <t>USD por 1M requests</t>
        </is>
      </c>
      <c r="D37" s="21" t="n">
        <v>0</v>
      </c>
      <c r="E37" s="14" t="n">
        <v>0</v>
      </c>
      <c r="F37" s="22" t="n">
        <v>0</v>
      </c>
      <c r="G37" s="21" t="n">
        <v>0</v>
      </c>
      <c r="H37" s="14" t="n">
        <v>0</v>
      </c>
      <c r="I37" s="22" t="n">
        <v>0</v>
      </c>
      <c r="J37" s="21" t="n">
        <v>0</v>
      </c>
      <c r="K37" s="14" t="n">
        <v>0</v>
      </c>
      <c r="L37" s="22" t="n">
        <v>0</v>
      </c>
      <c r="M37" s="12" t="inlineStr">
        <is>
          <t>✅ Gratis hasta 1M requests/mes.</t>
        </is>
      </c>
    </row>
    <row r="38" ht="18" customHeight="1">
      <c r="A38" s="8" t="inlineStr">
        <is>
          <t>Security Command Center (Tier Standard)</t>
        </is>
      </c>
      <c r="B38" s="8" t="inlineStr">
        <is>
          <t>Seguridad</t>
        </is>
      </c>
      <c r="C38" s="8" t="inlineStr">
        <is>
          <t>USD/mes</t>
        </is>
      </c>
      <c r="D38" s="19" t="n">
        <v>0</v>
      </c>
      <c r="E38" s="10" t="n">
        <v>0</v>
      </c>
      <c r="F38" s="20" t="n">
        <v>0</v>
      </c>
      <c r="G38" s="19" t="n">
        <v>0</v>
      </c>
      <c r="H38" s="10" t="n">
        <v>0</v>
      </c>
      <c r="I38" s="20" t="n">
        <v>0</v>
      </c>
      <c r="J38" s="19" t="n">
        <v>0</v>
      </c>
      <c r="K38" s="10" t="n">
        <v>0</v>
      </c>
      <c r="L38" s="20" t="n">
        <v>0</v>
      </c>
      <c r="M38" s="8" t="inlineStr">
        <is>
          <t>✅ Standard tier gratis. Premium ~$0.06/asset/mes si se requiere.</t>
        </is>
      </c>
    </row>
    <row r="39" ht="20" customHeight="1">
      <c r="A39" s="16" t="inlineStr">
        <is>
          <t xml:space="preserve">  Subtotal — Seguridad &amp; APIs GCP</t>
        </is>
      </c>
      <c r="F39" s="17">
        <f>SUM(F34:F38)</f>
        <v/>
      </c>
      <c r="G39" s="18" t="n"/>
      <c r="H39" s="18" t="n"/>
      <c r="I39" s="17">
        <f>SUM(I34:I38)</f>
        <v/>
      </c>
      <c r="J39" s="18" t="n"/>
      <c r="K39" s="18" t="n"/>
      <c r="L39" s="17">
        <f>SUM(L34:L38)</f>
        <v/>
      </c>
      <c r="M39" s="18" t="n"/>
    </row>
    <row r="40" ht="20" customHeight="1">
      <c r="A40" s="6" t="inlineStr">
        <is>
          <t xml:space="preserve">  🌐 Red &amp; Egress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 ht="18" customHeight="1">
      <c r="A41" s="8" t="inlineStr">
        <is>
          <t>Egress entre servicios GCP (misma región)</t>
        </is>
      </c>
      <c r="B41" s="8" t="inlineStr">
        <is>
          <t>Red</t>
        </is>
      </c>
      <c r="C41" s="8" t="inlineStr">
        <is>
          <t>USD por GB</t>
        </is>
      </c>
      <c r="D41" s="19" t="n">
        <v>0</v>
      </c>
      <c r="E41" s="10" t="n">
        <v>0</v>
      </c>
      <c r="F41" s="20" t="n">
        <v>0</v>
      </c>
      <c r="G41" s="19" t="n">
        <v>0</v>
      </c>
      <c r="H41" s="10" t="n">
        <v>0</v>
      </c>
      <c r="I41" s="20" t="n">
        <v>0</v>
      </c>
      <c r="J41" s="19" t="n">
        <v>0</v>
      </c>
      <c r="K41" s="10" t="n">
        <v>0</v>
      </c>
      <c r="L41" s="20" t="n">
        <v>0</v>
      </c>
      <c r="M41" s="8" t="inlineStr">
        <is>
          <t>✅ Sin costo entre servicios en la misma región.</t>
        </is>
      </c>
    </row>
    <row r="42" ht="18" customHeight="1">
      <c r="A42" s="12" t="inlineStr">
        <is>
          <t>Egress a internet (notificaciones externas)</t>
        </is>
      </c>
      <c r="B42" s="12" t="inlineStr">
        <is>
          <t>Red</t>
        </is>
      </c>
      <c r="C42" s="12" t="inlineStr">
        <is>
          <t>USD por GB</t>
        </is>
      </c>
      <c r="D42" s="13" t="n">
        <v>0.08</v>
      </c>
      <c r="E42" s="14" t="n">
        <v>0.1</v>
      </c>
      <c r="F42" s="15">
        <f>D42*E42</f>
        <v/>
      </c>
      <c r="G42" s="13" t="n">
        <v>0.08</v>
      </c>
      <c r="H42" s="14" t="n">
        <v>0.5</v>
      </c>
      <c r="I42" s="15">
        <f>G42*H42</f>
        <v/>
      </c>
      <c r="J42" s="13" t="n">
        <v>0.08</v>
      </c>
      <c r="K42" s="14" t="n">
        <v>2</v>
      </c>
      <c r="L42" s="15">
        <f>J42*K42</f>
        <v/>
      </c>
      <c r="M42" s="12" t="inlineStr">
        <is>
          <t>Webhooks a Slack/Teams/email. Mínimo.</t>
        </is>
      </c>
    </row>
    <row r="43" ht="20" customHeight="1">
      <c r="A43" s="16" t="inlineStr">
        <is>
          <t xml:space="preserve">  Subtotal — Red &amp; Egress</t>
        </is>
      </c>
      <c r="F43" s="17">
        <f>SUM(F41:F42)</f>
        <v/>
      </c>
      <c r="G43" s="18" t="n"/>
      <c r="H43" s="18" t="n"/>
      <c r="I43" s="17">
        <f>SUM(I41:I42)</f>
        <v/>
      </c>
      <c r="J43" s="18" t="n"/>
      <c r="K43" s="18" t="n"/>
      <c r="L43" s="17">
        <f>SUM(L41:L42)</f>
        <v/>
      </c>
      <c r="M43" s="18" t="n"/>
    </row>
    <row r="45" ht="28" customHeight="1">
      <c r="A45" s="23" t="inlineStr">
        <is>
          <t xml:space="preserve">  💰  TOTAL MENSUAL ESTIMADO (USD)</t>
        </is>
      </c>
      <c r="F45" s="24">
        <f>F9+F14+F21+F26+F32+F39+F43</f>
        <v/>
      </c>
      <c r="G45" s="25" t="n"/>
      <c r="H45" s="25" t="n"/>
      <c r="I45" s="24">
        <f>I9+I14+I21+I26+I32+I39+I43</f>
        <v/>
      </c>
      <c r="J45" s="25" t="n"/>
      <c r="K45" s="25" t="n"/>
      <c r="L45" s="24">
        <f>L9+L14+L21+L26+L32+L39+L43</f>
        <v/>
      </c>
      <c r="M45" s="25" t="n"/>
    </row>
    <row r="46" ht="26" customHeight="1">
      <c r="A46" s="26" t="inlineStr">
        <is>
          <t xml:space="preserve">  📅  TOTAL ANUAL ESTIMADO (USD)</t>
        </is>
      </c>
      <c r="F46" s="27">
        <f>F45*12</f>
        <v/>
      </c>
      <c r="G46" s="28" t="n"/>
      <c r="H46" s="28" t="n"/>
      <c r="I46" s="27">
        <f>I45*12</f>
        <v/>
      </c>
      <c r="J46" s="28" t="n"/>
      <c r="K46" s="28" t="n"/>
      <c r="L46" s="27">
        <f>L45*12</f>
        <v/>
      </c>
      <c r="M46" s="28" t="n"/>
    </row>
  </sheetData>
  <mergeCells count="21">
    <mergeCell ref="D2:F2"/>
    <mergeCell ref="A39:E39"/>
    <mergeCell ref="A22:M22"/>
    <mergeCell ref="A4:M4"/>
    <mergeCell ref="A45:E45"/>
    <mergeCell ref="A2:C2"/>
    <mergeCell ref="A10:M10"/>
    <mergeCell ref="A40:M40"/>
    <mergeCell ref="A46:E46"/>
    <mergeCell ref="A15:M15"/>
    <mergeCell ref="A21:E21"/>
    <mergeCell ref="J2:L2"/>
    <mergeCell ref="A1:M1"/>
    <mergeCell ref="A26:E26"/>
    <mergeCell ref="A32:E32"/>
    <mergeCell ref="A14:E14"/>
    <mergeCell ref="G2:I2"/>
    <mergeCell ref="A43:E43"/>
    <mergeCell ref="A27:M27"/>
    <mergeCell ref="A33:M33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9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55" customWidth="1" min="5" max="5"/>
  </cols>
  <sheetData>
    <row r="1" ht="28" customHeight="1">
      <c r="A1" s="1" t="inlineStr">
        <is>
          <t>SUPUESTOS DE CÁLCULO — Variables por Escenario</t>
        </is>
      </c>
    </row>
    <row r="2">
      <c r="A2" s="29" t="inlineStr">
        <is>
          <t>Variable</t>
        </is>
      </c>
      <c r="B2" s="29" t="inlineStr">
        <is>
          <t>Startup</t>
        </is>
      </c>
      <c r="C2" s="29" t="inlineStr">
        <is>
          <t>Empresa Mediana</t>
        </is>
      </c>
      <c r="D2" s="29" t="inlineStr">
        <is>
          <t>Enterprise</t>
        </is>
      </c>
      <c r="E2" s="29" t="inlineStr">
        <is>
          <t>Descripción</t>
        </is>
      </c>
    </row>
    <row r="3">
      <c r="A3" s="30" t="inlineStr">
        <is>
          <t>Proyectos GCP auditados</t>
        </is>
      </c>
      <c r="B3" s="30" t="inlineStr">
        <is>
          <t>1</t>
        </is>
      </c>
      <c r="C3" s="30" t="inlineStr">
        <is>
          <t>5</t>
        </is>
      </c>
      <c r="D3" s="30" t="inlineStr">
        <is>
          <t>20</t>
        </is>
      </c>
      <c r="E3" s="30" t="inlineStr">
        <is>
          <t>Número de proyectos distintos en scope</t>
        </is>
      </c>
    </row>
    <row r="4">
      <c r="A4" s="31" t="inlineStr">
        <is>
          <t>Runs por día</t>
        </is>
      </c>
      <c r="B4" s="31" t="inlineStr">
        <is>
          <t>2</t>
        </is>
      </c>
      <c r="C4" s="31" t="inlineStr">
        <is>
          <t>4</t>
        </is>
      </c>
      <c r="D4" s="31" t="inlineStr">
        <is>
          <t>8</t>
        </is>
      </c>
      <c r="E4" s="31" t="inlineStr">
        <is>
          <t>Ejecuciones del agente (scheduled + event-driven)</t>
        </is>
      </c>
    </row>
    <row r="5">
      <c r="A5" s="30" t="inlineStr">
        <is>
          <t>Tokens input promedio/run</t>
        </is>
      </c>
      <c r="B5" s="30" t="inlineStr">
        <is>
          <t>50K</t>
        </is>
      </c>
      <c r="C5" s="30" t="inlineStr">
        <is>
          <t>50K</t>
        </is>
      </c>
      <c r="D5" s="30" t="inlineStr">
        <is>
          <t>50K</t>
        </is>
      </c>
      <c r="E5" s="30" t="inlineStr">
        <is>
          <t>Tokens procesados por Gemini Pro en planning+execution</t>
        </is>
      </c>
    </row>
    <row r="6">
      <c r="A6" s="31" t="inlineStr">
        <is>
          <t>Tokens output promedio/run</t>
        </is>
      </c>
      <c r="B6" s="31" t="inlineStr">
        <is>
          <t>10K</t>
        </is>
      </c>
      <c r="C6" s="31" t="inlineStr">
        <is>
          <t>10K</t>
        </is>
      </c>
      <c r="D6" s="31" t="inlineStr">
        <is>
          <t>10K</t>
        </is>
      </c>
      <c r="E6" s="31" t="inlineStr">
        <is>
          <t>Tokens generados: razonamiento + reporte</t>
        </is>
      </c>
    </row>
    <row r="7">
      <c r="A7" s="30" t="inlineStr">
        <is>
          <t>Duración promedio run</t>
        </is>
      </c>
      <c r="B7" s="30" t="inlineStr">
        <is>
          <t>5 min</t>
        </is>
      </c>
      <c r="C7" s="30" t="inlineStr">
        <is>
          <t>5 min</t>
        </is>
      </c>
      <c r="D7" s="30" t="inlineStr">
        <is>
          <t>7 min</t>
        </is>
      </c>
      <c r="E7" s="30" t="inlineStr">
        <is>
          <t>Tiempo de ejecución del Cloud Run Job</t>
        </is>
      </c>
    </row>
    <row r="8">
      <c r="A8" s="31" t="inlineStr">
        <is>
          <t>GB DLP inspeccionados/mes</t>
        </is>
      </c>
      <c r="B8" s="31" t="inlineStr">
        <is>
          <t>2 GB</t>
        </is>
      </c>
      <c r="C8" s="31" t="inlineStr">
        <is>
          <t>10 GB</t>
        </is>
      </c>
      <c r="D8" s="31" t="inlineStr">
        <is>
          <t>40 GB</t>
        </is>
      </c>
      <c r="E8" s="31" t="inlineStr">
        <is>
          <t>Datos escaneados por Cloud DLP mensualmente</t>
        </is>
      </c>
    </row>
    <row r="9">
      <c r="A9" s="30" t="inlineStr">
        <is>
          <t>Tamaño resultados BigQuery</t>
        </is>
      </c>
      <c r="B9" s="30" t="inlineStr">
        <is>
          <t>5 GB</t>
        </is>
      </c>
      <c r="C9" s="30" t="inlineStr">
        <is>
          <t>25 GB</t>
        </is>
      </c>
      <c r="D9" s="30" t="inlineStr">
        <is>
          <t>100 GB</t>
        </is>
      </c>
      <c r="E9" s="30" t="inlineStr">
        <is>
          <t>Acumulado histórico de findings en tabla BQ</t>
        </is>
      </c>
    </row>
    <row r="10">
      <c r="A10" s="31" t="inlineStr">
        <is>
          <t>Eventos Eventarc/mes</t>
        </is>
      </c>
      <c r="B10" s="31" t="inlineStr">
        <is>
          <t>50K</t>
        </is>
      </c>
      <c r="C10" s="31" t="inlineStr">
        <is>
          <t>250K</t>
        </is>
      </c>
      <c r="D10" s="31" t="inlineStr">
        <is>
          <t>1M</t>
        </is>
      </c>
      <c r="E10" s="31" t="inlineStr">
        <is>
          <t>Triggers por cambios IAM/DLP en org</t>
        </is>
      </c>
    </row>
    <row r="11">
      <c r="A11" s="30" t="inlineStr">
        <is>
          <t>Región principal</t>
        </is>
      </c>
      <c r="B11" s="30" t="inlineStr">
        <is>
          <t>us-central1</t>
        </is>
      </c>
      <c r="C11" s="30" t="inlineStr">
        <is>
          <t>us-central1</t>
        </is>
      </c>
      <c r="D11" s="30" t="inlineStr">
        <is>
          <t>multi-region</t>
        </is>
      </c>
      <c r="E11" s="30" t="inlineStr">
        <is>
          <t>Impacta pricing de BQ, GCS, Cloud Run</t>
        </is>
      </c>
    </row>
    <row r="12">
      <c r="A12" s="31" t="inlineStr">
        <is>
          <t>SLA / HA requerido</t>
        </is>
      </c>
      <c r="B12" s="31" t="inlineStr">
        <is>
          <t>No</t>
        </is>
      </c>
      <c r="C12" s="31" t="inlineStr">
        <is>
          <t>Básico</t>
        </is>
      </c>
      <c r="D12" s="31" t="inlineStr">
        <is>
          <t>Sí</t>
        </is>
      </c>
      <c r="E12" s="31" t="inlineStr">
        <is>
          <t>Enterprise usa 2 nodos Vector Search para HA</t>
        </is>
      </c>
    </row>
    <row r="13">
      <c r="A13" s="30" t="inlineStr"/>
      <c r="B13" s="30" t="inlineStr"/>
      <c r="C13" s="30" t="inlineStr"/>
      <c r="D13" s="30" t="inlineStr"/>
      <c r="E13" s="30" t="inlineStr"/>
    </row>
    <row r="14">
      <c r="A14" s="6" t="inlineStr">
        <is>
          <t>NOTAS IMPORTANTES</t>
        </is>
      </c>
      <c r="B14" s="32" t="n"/>
      <c r="C14" s="32" t="n"/>
      <c r="D14" s="32" t="n"/>
      <c r="E14" s="33" t="n"/>
    </row>
    <row r="15">
      <c r="A15" s="34" t="inlineStr">
        <is>
          <t>• Precios estimados en USD. Sujetos a cambios. Fuente: GCP Pricing Calculator (Mayo 2026).</t>
        </is>
      </c>
      <c r="B15" s="32" t="n"/>
      <c r="C15" s="32" t="n"/>
      <c r="D15" s="32" t="n"/>
      <c r="E15" s="33" t="n"/>
    </row>
    <row r="16">
      <c r="A16" s="34" t="inlineStr">
        <is>
          <t>• Los precios de Vertex AI Gemini pueden reducirse con Committed Use Discounts (CUD) o batch API.</t>
        </is>
      </c>
      <c r="B16" s="32" t="n"/>
      <c r="C16" s="32" t="n"/>
      <c r="D16" s="32" t="n"/>
      <c r="E16" s="33" t="n"/>
    </row>
    <row r="17">
      <c r="A17" s="34" t="inlineStr">
        <is>
          <t>• Cloud Asset Inventory, Data Catalog y SCC Standard son gratuitos en los umbrales indicados.</t>
        </is>
      </c>
      <c r="B17" s="32" t="n"/>
      <c r="C17" s="32" t="n"/>
      <c r="D17" s="32" t="n"/>
      <c r="E17" s="33" t="n"/>
    </row>
    <row r="18">
      <c r="A18" s="34" t="inlineStr">
        <is>
          <t>• Costo real puede variar ±30% según uso efectivo, caché de tokens y optimizaciones de prompts.</t>
        </is>
      </c>
      <c r="B18" s="32" t="n"/>
      <c r="C18" s="32" t="n"/>
      <c r="D18" s="32" t="n"/>
      <c r="E18" s="33" t="n"/>
    </row>
    <row r="19">
      <c r="A19" s="34" t="inlineStr">
        <is>
          <t>• Para Enterprise se recomienda negociar committed use con Google para Vertex AI (hasta 17% descuento).</t>
        </is>
      </c>
      <c r="B19" s="32" t="n"/>
      <c r="C19" s="32" t="n"/>
      <c r="D19" s="32" t="n"/>
      <c r="E19" s="33" t="n"/>
    </row>
    <row r="20">
      <c r="A20" s="34" t="inlineStr">
        <is>
          <t>• No incluye costos de desarrollo/implementación ni soporte GCP.</t>
        </is>
      </c>
      <c r="B20" s="32" t="n"/>
      <c r="C20" s="32" t="n"/>
      <c r="D20" s="32" t="n"/>
      <c r="E20" s="33" t="n"/>
    </row>
  </sheetData>
  <mergeCells count="8">
    <mergeCell ref="A20:E20"/>
    <mergeCell ref="A16:E16"/>
    <mergeCell ref="A15:E15"/>
    <mergeCell ref="A1:F1"/>
    <mergeCell ref="A19:E19"/>
    <mergeCell ref="A14:E14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2026-05-08T14:21:48Z</dcterms:created>
  <dcterms:modified xsi:type="dcterms:W3CDTF">2026-05-08T14:21:48Z</dcterms:modified>
</cp:coreProperties>
</file>